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aaeb28281a6af/Documents/AOC/2025/"/>
    </mc:Choice>
  </mc:AlternateContent>
  <xr:revisionPtr revIDLastSave="1" documentId="8_{3D6CB800-95A1-42D7-AEC4-65A5EB834942}" xr6:coauthVersionLast="47" xr6:coauthVersionMax="47" xr10:uidLastSave="{C312DB76-EDE5-4D54-9311-3DA7F7F677A5}"/>
  <bookViews>
    <workbookView xWindow="6228" yWindow="0" windowWidth="24492" windowHeight="18480" xr2:uid="{29B5E90E-E908-4220-81D0-15BE4DED88E2}"/>
  </bookViews>
  <sheets>
    <sheet name="Readme" sheetId="3" r:id="rId1"/>
    <sheet name="Part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4" i="1" l="1" a="1"/>
  <c r="B34" i="1" s="1"/>
  <c r="I34" i="1" s="1" a="1"/>
  <c r="I34" i="1" s="1"/>
  <c r="K34" i="1" s="1"/>
  <c r="J34" i="1"/>
  <c r="B35" i="1" a="1"/>
  <c r="B35" i="1" s="1"/>
  <c r="I35" i="1" s="1" a="1"/>
  <c r="I35" i="1" s="1"/>
  <c r="K35" i="1" s="1"/>
  <c r="J35" i="1"/>
  <c r="B2" i="1" a="1"/>
  <c r="B2" i="1" s="1"/>
  <c r="B32" i="1" a="1"/>
  <c r="B33" i="1" a="1"/>
  <c r="J33" i="1" s="1"/>
  <c r="B31" i="1" a="1"/>
  <c r="J32" i="1" l="1"/>
  <c r="J31" i="1"/>
  <c r="B33" i="1"/>
  <c r="I33" i="1" s="1" a="1"/>
  <c r="I33" i="1" s="1"/>
  <c r="K33" i="1" s="1"/>
  <c r="B32" i="1"/>
  <c r="I32" i="1" s="1" a="1"/>
  <c r="I32" i="1" s="1"/>
  <c r="B31" i="1"/>
  <c r="I31" i="1" s="1" a="1"/>
  <c r="I31" i="1" s="1"/>
  <c r="K32" i="1" l="1"/>
  <c r="K31" i="1"/>
  <c r="L3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<sst xmlns="http://schemas.openxmlformats.org/spreadsheetml/2006/main" count="28" uniqueCount="17">
  <si>
    <t>##.</t>
  </si>
  <si>
    <t>###</t>
  </si>
  <si>
    <t>#.#</t>
  </si>
  <si>
    <t>.##</t>
  </si>
  <si>
    <t>#..</t>
  </si>
  <si>
    <t>.#.</t>
  </si>
  <si>
    <t>..#</t>
  </si>
  <si>
    <t>Part 1:</t>
  </si>
  <si>
    <t>Part 1 (for troubleshooting):</t>
  </si>
  <si>
    <t>30x23: 20 31 34 22 24 13</t>
  </si>
  <si>
    <t>48x39: 17 36 41 43 35 37</t>
  </si>
  <si>
    <t>18x41: 26 34 37 40 39 11</t>
  </si>
  <si>
    <t>46x59: 37 44 48 38 62 48</t>
  </si>
  <si>
    <t>50x35: 29 29 29 26 24 34</t>
  </si>
  <si>
    <t>Note: input data is truncated and altered as per Advent of Code FAQ</t>
  </si>
  <si>
    <t>If you use this spreadsheet, you will need to update the array reference for the DROP in the single cell solution in B2 and fill handle/drag down the formulas appropriately for all of your input</t>
  </si>
  <si>
    <t>Also of note: this may not be a generalizable solution - e.g. it does not work on the example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</si>
</sst>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54CD-2705-46A8-A59A-5B0AB9E447C1}">
  <dimension ref="A1:A4"/>
  <sheetViews>
    <sheetView tabSelected="1" workbookViewId="0"/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  <row r="4" spans="1:1" x14ac:dyDescent="0.3">
      <c r="A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2A49A-05A2-43C4-9CD0-857B988ABFBA}">
  <dimension ref="A1:L35"/>
  <sheetViews>
    <sheetView workbookViewId="0"/>
  </sheetViews>
  <sheetFormatPr defaultRowHeight="14.4" x14ac:dyDescent="0.3"/>
  <cols>
    <col min="1" max="1" width="20.5546875" bestFit="1" customWidth="1"/>
  </cols>
  <sheetData>
    <row r="1" spans="1:5" x14ac:dyDescent="0.3">
      <c r="A1" s="1">
        <v>0</v>
      </c>
      <c r="B1" t="s">
        <v>7</v>
      </c>
    </row>
    <row r="2" spans="1:5" x14ac:dyDescent="0.3">
      <c r="A2" s="1" t="s">
        <v>6</v>
      </c>
      <c r="B2" cm="1">
        <f t="array" ref="B2">SUM(--_xlfn.MAP(_xlfn.DROP(A1:A35,30),_xlfn.LAMBDA(_xlpm.a,_xlfn.LET(_xlpm.b,IFERROR(--_xlfn.TEXTSPLIT(_xlpm.a,{"x",":"," "},,TRUE),""),PRODUCT(_xlfn.TAKE(_xlpm.b,,2))&gt;=9*SUM(_xlfn.DROP(_xlpm.b,,2))))))</f>
        <v>2</v>
      </c>
    </row>
    <row r="3" spans="1:5" x14ac:dyDescent="0.3">
      <c r="A3" s="1" t="s">
        <v>3</v>
      </c>
    </row>
    <row r="4" spans="1:5" x14ac:dyDescent="0.3">
      <c r="A4" s="1" t="s">
        <v>1</v>
      </c>
    </row>
    <row r="5" spans="1:5" x14ac:dyDescent="0.3">
      <c r="A5" s="1"/>
    </row>
    <row r="6" spans="1:5" x14ac:dyDescent="0.3">
      <c r="A6" s="1">
        <v>1</v>
      </c>
    </row>
    <row r="7" spans="1:5" x14ac:dyDescent="0.3">
      <c r="A7" s="1" t="s">
        <v>0</v>
      </c>
    </row>
    <row r="8" spans="1:5" x14ac:dyDescent="0.3">
      <c r="A8" s="1" t="s">
        <v>2</v>
      </c>
    </row>
    <row r="9" spans="1:5" x14ac:dyDescent="0.3">
      <c r="A9" s="1" t="s">
        <v>2</v>
      </c>
    </row>
    <row r="10" spans="1:5" x14ac:dyDescent="0.3">
      <c r="A10" s="1"/>
    </row>
    <row r="11" spans="1:5" x14ac:dyDescent="0.3">
      <c r="A11" s="1">
        <v>2</v>
      </c>
    </row>
    <row r="12" spans="1:5" x14ac:dyDescent="0.3">
      <c r="A12" s="1" t="s">
        <v>3</v>
      </c>
      <c r="E12" s="1"/>
    </row>
    <row r="13" spans="1:5" x14ac:dyDescent="0.3">
      <c r="A13" s="1" t="s">
        <v>0</v>
      </c>
      <c r="E13" s="1"/>
    </row>
    <row r="14" spans="1:5" x14ac:dyDescent="0.3">
      <c r="A14" s="1" t="s">
        <v>4</v>
      </c>
      <c r="E14" s="1"/>
    </row>
    <row r="15" spans="1:5" x14ac:dyDescent="0.3">
      <c r="A15" s="1"/>
    </row>
    <row r="16" spans="1:5" x14ac:dyDescent="0.3">
      <c r="A16" s="1">
        <v>3</v>
      </c>
    </row>
    <row r="17" spans="1:12" x14ac:dyDescent="0.3">
      <c r="A17" s="1" t="s">
        <v>1</v>
      </c>
    </row>
    <row r="18" spans="1:12" x14ac:dyDescent="0.3">
      <c r="A18" s="1" t="s">
        <v>5</v>
      </c>
    </row>
    <row r="19" spans="1:12" x14ac:dyDescent="0.3">
      <c r="A19" s="1" t="s">
        <v>1</v>
      </c>
    </row>
    <row r="20" spans="1:12" x14ac:dyDescent="0.3">
      <c r="A20" s="1"/>
    </row>
    <row r="21" spans="1:12" x14ac:dyDescent="0.3">
      <c r="A21" s="1">
        <v>4</v>
      </c>
    </row>
    <row r="22" spans="1:12" x14ac:dyDescent="0.3">
      <c r="A22" s="1" t="s">
        <v>0</v>
      </c>
    </row>
    <row r="23" spans="1:12" x14ac:dyDescent="0.3">
      <c r="A23" s="1" t="s">
        <v>4</v>
      </c>
    </row>
    <row r="24" spans="1:12" x14ac:dyDescent="0.3">
      <c r="A24" s="1" t="s">
        <v>1</v>
      </c>
    </row>
    <row r="25" spans="1:12" x14ac:dyDescent="0.3">
      <c r="A25" s="1"/>
    </row>
    <row r="26" spans="1:12" x14ac:dyDescent="0.3">
      <c r="A26" s="1">
        <v>5</v>
      </c>
    </row>
    <row r="27" spans="1:12" x14ac:dyDescent="0.3">
      <c r="A27" s="1" t="s">
        <v>0</v>
      </c>
    </row>
    <row r="28" spans="1:12" x14ac:dyDescent="0.3">
      <c r="A28" s="1" t="s">
        <v>1</v>
      </c>
    </row>
    <row r="29" spans="1:12" x14ac:dyDescent="0.3">
      <c r="A29" s="1" t="s">
        <v>2</v>
      </c>
    </row>
    <row r="30" spans="1:12" x14ac:dyDescent="0.3">
      <c r="C30">
        <v>0</v>
      </c>
      <c r="D30">
        <v>1</v>
      </c>
      <c r="E30">
        <v>2</v>
      </c>
      <c r="F30">
        <v>3</v>
      </c>
      <c r="G30">
        <v>4</v>
      </c>
      <c r="H30">
        <v>5</v>
      </c>
      <c r="L30" t="s">
        <v>8</v>
      </c>
    </row>
    <row r="31" spans="1:12" x14ac:dyDescent="0.3">
      <c r="A31" t="s">
        <v>9</v>
      </c>
      <c r="B31" t="str" cm="1">
        <f t="array" ref="B31:H31">_xlfn.TEXTSPLIT(A31," ")</f>
        <v>30x23:</v>
      </c>
      <c r="C31" t="str">
        <v>20</v>
      </c>
      <c r="D31" t="str">
        <v>31</v>
      </c>
      <c r="E31" t="str">
        <v>34</v>
      </c>
      <c r="F31" t="str">
        <v>22</v>
      </c>
      <c r="G31" t="str">
        <v>24</v>
      </c>
      <c r="H31" t="str">
        <v>13</v>
      </c>
      <c r="I31" cm="1">
        <f t="array" ref="I31">PRODUCT(_xlfn.TEXTSPLIT(B31,{"x",":"},,TRUE)*1)</f>
        <v>690</v>
      </c>
      <c r="J31">
        <f>SUM(C31*1,D31*1,E31*1,F31*1,G31*1,H31*1)</f>
        <v>144</v>
      </c>
      <c r="K31">
        <f>IF(I31/9&gt;=J31,1,0)</f>
        <v>0</v>
      </c>
      <c r="L31">
        <f>SUM(K31:K1030)</f>
        <v>2</v>
      </c>
    </row>
    <row r="32" spans="1:12" x14ac:dyDescent="0.3">
      <c r="A32" t="s">
        <v>11</v>
      </c>
      <c r="B32" t="str" cm="1">
        <f t="array" ref="B32:H32">_xlfn.TEXTSPLIT(A32," ")</f>
        <v>18x41:</v>
      </c>
      <c r="C32" t="str">
        <v>26</v>
      </c>
      <c r="D32" t="str">
        <v>34</v>
      </c>
      <c r="E32" t="str">
        <v>37</v>
      </c>
      <c r="F32" t="str">
        <v>40</v>
      </c>
      <c r="G32" t="str">
        <v>39</v>
      </c>
      <c r="H32" t="str">
        <v>11</v>
      </c>
      <c r="I32" cm="1">
        <f t="array" ref="I32">PRODUCT(_xlfn.TEXTSPLIT(B32,{"x",":"},,TRUE)*1)</f>
        <v>738</v>
      </c>
      <c r="J32">
        <f>SUM(C32*1,D32*1,E32*1,F32*1,G32*1,H32*1)</f>
        <v>187</v>
      </c>
      <c r="K32">
        <f>IF(I32/9&gt;=J32,1,0)</f>
        <v>0</v>
      </c>
    </row>
    <row r="33" spans="1:11" x14ac:dyDescent="0.3">
      <c r="A33" t="s">
        <v>10</v>
      </c>
      <c r="B33" t="str" cm="1">
        <f t="array" ref="B33:H33">_xlfn.TEXTSPLIT(A33," ")</f>
        <v>48x39:</v>
      </c>
      <c r="C33" t="str">
        <v>17</v>
      </c>
      <c r="D33" t="str">
        <v>36</v>
      </c>
      <c r="E33" t="str">
        <v>41</v>
      </c>
      <c r="F33" t="str">
        <v>43</v>
      </c>
      <c r="G33" t="str">
        <v>35</v>
      </c>
      <c r="H33" t="str">
        <v>37</v>
      </c>
      <c r="I33" cm="1">
        <f t="array" ref="I33">PRODUCT(_xlfn.TEXTSPLIT(B33,{"x",":"},,TRUE)*1)</f>
        <v>1872</v>
      </c>
      <c r="J33">
        <f>SUM(C33*1,D33*1,E33*1,F33*1,G33*1,H33*1)</f>
        <v>209</v>
      </c>
      <c r="K33">
        <f>IF(I33/9&gt;=J33,1,0)</f>
        <v>0</v>
      </c>
    </row>
    <row r="34" spans="1:11" x14ac:dyDescent="0.3">
      <c r="A34" t="s">
        <v>12</v>
      </c>
      <c r="B34" t="str" cm="1">
        <f t="array" ref="B34:H34">_xlfn.TEXTSPLIT(A34," ")</f>
        <v>46x59:</v>
      </c>
      <c r="C34" t="str">
        <v>37</v>
      </c>
      <c r="D34" t="str">
        <v>44</v>
      </c>
      <c r="E34" t="str">
        <v>48</v>
      </c>
      <c r="F34" t="str">
        <v>38</v>
      </c>
      <c r="G34" t="str">
        <v>62</v>
      </c>
      <c r="H34" t="str">
        <v>48</v>
      </c>
      <c r="I34" cm="1">
        <f t="array" ref="I34">PRODUCT(_xlfn.TEXTSPLIT(B34,{"x",":"},,TRUE)*1)</f>
        <v>2714</v>
      </c>
      <c r="J34">
        <f>SUM(C34*1,D34*1,E34*1,F34*1,G34*1,H34*1)</f>
        <v>277</v>
      </c>
      <c r="K34">
        <f>IF(I34/9&gt;=J34,1,0)</f>
        <v>1</v>
      </c>
    </row>
    <row r="35" spans="1:11" x14ac:dyDescent="0.3">
      <c r="A35" t="s">
        <v>13</v>
      </c>
      <c r="B35" t="str" cm="1">
        <f t="array" ref="B35:H35">_xlfn.TEXTSPLIT(A35," ")</f>
        <v>50x35:</v>
      </c>
      <c r="C35" t="str">
        <v>29</v>
      </c>
      <c r="D35" t="str">
        <v>29</v>
      </c>
      <c r="E35" t="str">
        <v>29</v>
      </c>
      <c r="F35" t="str">
        <v>26</v>
      </c>
      <c r="G35" t="str">
        <v>24</v>
      </c>
      <c r="H35" t="str">
        <v>34</v>
      </c>
      <c r="I35" cm="1">
        <f t="array" ref="I35">PRODUCT(_xlfn.TEXTSPLIT(B35,{"x",":"},,TRUE)*1)</f>
        <v>1750</v>
      </c>
      <c r="J35">
        <f>SUM(C35*1,D35*1,E35*1,F35*1,G35*1,H35*1)</f>
        <v>171</v>
      </c>
      <c r="K35">
        <f>IF(I35/9&gt;=J35,1,0)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Crystal Chiang</dc:creator>
  <cp:lastModifiedBy>J. Crystal Chiang</cp:lastModifiedBy>
  <dcterms:created xsi:type="dcterms:W3CDTF">2025-12-12T14:34:29Z</dcterms:created>
  <dcterms:modified xsi:type="dcterms:W3CDTF">2025-12-12T16:03:28Z</dcterms:modified>
</cp:coreProperties>
</file>