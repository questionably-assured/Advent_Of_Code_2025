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aaeb28281a6af/Documents/AOC/2025/"/>
    </mc:Choice>
  </mc:AlternateContent>
  <xr:revisionPtr revIDLastSave="0" documentId="8_{097B2DF0-FF58-43C5-8752-A667387834A0}" xr6:coauthVersionLast="47" xr6:coauthVersionMax="47" xr10:uidLastSave="{00000000-0000-0000-0000-000000000000}"/>
  <bookViews>
    <workbookView xWindow="4680" yWindow="2400" windowWidth="24948" windowHeight="13560" activeTab="1" xr2:uid="{47B96CA0-96BF-47B6-A711-2C28E53C9AD4}"/>
  </bookViews>
  <sheets>
    <sheet name="Readme" sheetId="2" r:id="rId1"/>
    <sheet name="Part 1" sheetId="1" r:id="rId2"/>
    <sheet name="Part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 a="1"/>
  <c r="B5" i="3" s="1"/>
  <c r="B4" i="3" a="1"/>
  <c r="B4" i="3" s="1"/>
  <c r="B3" i="3" a="1"/>
  <c r="B3" i="3" s="1"/>
  <c r="B2" i="3" a="1"/>
  <c r="B2" i="3" s="1"/>
  <c r="C2" i="3" s="1"/>
  <c r="D2" i="3" s="1" a="1"/>
  <c r="D2" i="3" s="1"/>
  <c r="E2" i="3" s="1"/>
  <c r="F2" i="3" s="1" a="1"/>
  <c r="F2" i="3" s="1"/>
  <c r="G2" i="3" s="1"/>
  <c r="H2" i="3" s="1" a="1"/>
  <c r="H2" i="3" s="1"/>
  <c r="I2" i="3" s="1"/>
  <c r="J2" i="3" s="1" a="1"/>
  <c r="J2" i="3" s="1"/>
  <c r="K2" i="3" s="1"/>
  <c r="L2" i="3" s="1" a="1"/>
  <c r="L2" i="3" s="1"/>
  <c r="M2" i="3" s="1"/>
  <c r="N2" i="3" s="1" a="1"/>
  <c r="N2" i="3" s="1"/>
  <c r="O2" i="3" s="1"/>
  <c r="P2" i="3" s="1" a="1"/>
  <c r="P2" i="3" s="1"/>
  <c r="Q2" i="3" s="1"/>
  <c r="R2" i="3" s="1" a="1"/>
  <c r="R2" i="3" s="1"/>
  <c r="S2" i="3" s="1"/>
  <c r="T2" i="3" s="1" a="1"/>
  <c r="T2" i="3" s="1"/>
  <c r="U2" i="3" s="1"/>
  <c r="V2" i="3" s="1" a="1"/>
  <c r="V2" i="3" s="1"/>
  <c r="W2" i="3" s="1"/>
  <c r="X2" i="3" s="1" a="1"/>
  <c r="X2" i="3" s="1"/>
  <c r="Y2" i="3" s="1"/>
  <c r="B6" i="1" a="1"/>
  <c r="B6" i="1" s="1"/>
  <c r="B5" i="1" a="1"/>
  <c r="B5" i="1" s="1"/>
  <c r="B4" i="1" a="1"/>
  <c r="B4" i="1" s="1"/>
  <c r="B3" i="1" a="1"/>
  <c r="B3" i="1" s="1"/>
  <c r="B2" i="1" a="1"/>
  <c r="B2" i="1" s="1"/>
  <c r="C3" i="3" l="1"/>
  <c r="D3" i="3" s="1" a="1"/>
  <c r="D3" i="3" s="1"/>
  <c r="E3" i="3" s="1"/>
  <c r="F3" i="3" s="1" a="1"/>
  <c r="F3" i="3" s="1"/>
  <c r="G3" i="3" s="1"/>
  <c r="H3" i="3" s="1" a="1"/>
  <c r="H3" i="3" s="1"/>
  <c r="I3" i="3" s="1"/>
  <c r="J3" i="3" s="1" a="1"/>
  <c r="J3" i="3" s="1"/>
  <c r="K3" i="3" s="1"/>
  <c r="L3" i="3" s="1" a="1"/>
  <c r="L3" i="3" s="1"/>
  <c r="M3" i="3" s="1"/>
  <c r="N3" i="3" s="1" a="1"/>
  <c r="N3" i="3" s="1"/>
  <c r="O3" i="3" s="1"/>
  <c r="P3" i="3" s="1" a="1"/>
  <c r="P3" i="3" s="1"/>
  <c r="Q3" i="3" s="1"/>
  <c r="R3" i="3" s="1" a="1"/>
  <c r="R3" i="3" s="1"/>
  <c r="S3" i="3" s="1"/>
  <c r="T3" i="3" s="1" a="1"/>
  <c r="T3" i="3" s="1"/>
  <c r="U3" i="3" s="1"/>
  <c r="V3" i="3" s="1" a="1"/>
  <c r="V3" i="3" s="1"/>
  <c r="W3" i="3" s="1"/>
  <c r="X3" i="3" s="1" a="1"/>
  <c r="X3" i="3" s="1"/>
  <c r="Y3" i="3" s="1"/>
  <c r="C4" i="3"/>
  <c r="D4" i="3" s="1" a="1"/>
  <c r="D4" i="3" s="1"/>
  <c r="E4" i="3" s="1"/>
  <c r="F4" i="3" s="1" a="1"/>
  <c r="F4" i="3" s="1"/>
  <c r="G4" i="3" s="1"/>
  <c r="H4" i="3" s="1" a="1"/>
  <c r="H4" i="3" s="1"/>
  <c r="I4" i="3" s="1"/>
  <c r="J4" i="3" s="1" a="1"/>
  <c r="J4" i="3" s="1"/>
  <c r="K4" i="3" s="1"/>
  <c r="L4" i="3" s="1" a="1"/>
  <c r="L4" i="3" s="1"/>
  <c r="M4" i="3" s="1"/>
  <c r="N4" i="3" s="1" a="1"/>
  <c r="N4" i="3" s="1"/>
  <c r="O4" i="3" s="1"/>
  <c r="P4" i="3" s="1" a="1"/>
  <c r="P4" i="3" s="1"/>
  <c r="Q4" i="3" s="1"/>
  <c r="R4" i="3" s="1" a="1"/>
  <c r="R4" i="3" s="1"/>
  <c r="S4" i="3" s="1"/>
  <c r="T4" i="3" s="1" a="1"/>
  <c r="T4" i="3" s="1"/>
  <c r="U4" i="3" s="1"/>
  <c r="V4" i="3" s="1" a="1"/>
  <c r="V4" i="3" s="1"/>
  <c r="W4" i="3" s="1"/>
  <c r="X4" i="3" s="1" a="1"/>
  <c r="X4" i="3" s="1"/>
  <c r="Y4" i="3" s="1"/>
  <c r="C5" i="3"/>
  <c r="D5" i="3" s="1" a="1"/>
  <c r="D5" i="3" s="1"/>
  <c r="E5" i="3" s="1"/>
  <c r="F5" i="3" s="1" a="1"/>
  <c r="F5" i="3" s="1"/>
  <c r="G5" i="3" s="1"/>
  <c r="H5" i="3" s="1" a="1"/>
  <c r="H5" i="3" s="1"/>
  <c r="I5" i="3" s="1"/>
  <c r="J5" i="3" s="1" a="1"/>
  <c r="J5" i="3" s="1"/>
  <c r="K5" i="3" s="1"/>
  <c r="L5" i="3" s="1" a="1"/>
  <c r="L5" i="3" s="1"/>
  <c r="M5" i="3" s="1"/>
  <c r="N5" i="3" s="1" a="1"/>
  <c r="N5" i="3" s="1"/>
  <c r="O5" i="3" s="1"/>
  <c r="P5" i="3" s="1" a="1"/>
  <c r="P5" i="3" s="1"/>
  <c r="Q5" i="3" s="1"/>
  <c r="R5" i="3" s="1" a="1"/>
  <c r="R5" i="3" s="1"/>
  <c r="S5" i="3" s="1"/>
  <c r="T5" i="3" s="1" a="1"/>
  <c r="T5" i="3" s="1"/>
  <c r="U5" i="3" s="1"/>
  <c r="V5" i="3" s="1" a="1"/>
  <c r="V5" i="3" s="1"/>
  <c r="W5" i="3" s="1"/>
  <c r="X5" i="3" s="1" a="1"/>
  <c r="X5" i="3" s="1"/>
  <c r="Y5" i="3" s="1"/>
  <c r="Z2" i="3"/>
  <c r="C2" i="1"/>
  <c r="Z4" i="3" l="1"/>
  <c r="Z5" i="3"/>
  <c r="Z3" i="3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<sst xmlns="http://schemas.openxmlformats.org/spreadsheetml/2006/main" count="40" uniqueCount="34">
  <si>
    <t>input data</t>
  </si>
  <si>
    <t>joltages</t>
  </si>
  <si>
    <t>Part 1:</t>
  </si>
  <si>
    <t>1st max</t>
  </si>
  <si>
    <t>1st pos</t>
  </si>
  <si>
    <t>2nd max</t>
  </si>
  <si>
    <t>2nd pos</t>
  </si>
  <si>
    <t>3rd max</t>
  </si>
  <si>
    <t>3rd pos</t>
  </si>
  <si>
    <t>4th max</t>
  </si>
  <si>
    <t>4th pos</t>
  </si>
  <si>
    <t>5th max</t>
  </si>
  <si>
    <t>5th pos</t>
  </si>
  <si>
    <t>6th max</t>
  </si>
  <si>
    <t>6th pos</t>
  </si>
  <si>
    <t>7th max</t>
  </si>
  <si>
    <t>7th pos</t>
  </si>
  <si>
    <t>8th max</t>
  </si>
  <si>
    <t>8th pos</t>
  </si>
  <si>
    <t>9th max</t>
  </si>
  <si>
    <t>9th pos</t>
  </si>
  <si>
    <t>10th max</t>
  </si>
  <si>
    <t>10th pos</t>
  </si>
  <si>
    <t>11th max</t>
  </si>
  <si>
    <t>11th pos</t>
  </si>
  <si>
    <t>12th max</t>
  </si>
  <si>
    <t>12th pos</t>
  </si>
  <si>
    <t>Part 2:</t>
  </si>
  <si>
    <t>2252522232121122125212576341424262435212421332333533223124122242222222112222222222423222112211212132</t>
  </si>
  <si>
    <t>4243411423211141423114148241242211313243142414412343314441331444324234332241124232434314434334456789</t>
  </si>
  <si>
    <t>1035424216235354235454854465356531424386646663353345325863344653443225833345272432733245254123233555</t>
  </si>
  <si>
    <t>2222254221221322323251221422122222222913514312413322232222233312242241212222211222221231522123222321</t>
  </si>
  <si>
    <t>3325223333143325613631334413332223343313325235243165334333436234347343343233333423464343343122752313</t>
  </si>
  <si>
    <t>Note: input data is truncated and also not my actual input data as per Advent of Code 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</si>
</sst>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F3A0-FA63-4002-8A1D-63B7E481433B}">
  <dimension ref="A1"/>
  <sheetViews>
    <sheetView workbookViewId="0"/>
  </sheetViews>
  <sheetFormatPr defaultRowHeight="14.4" x14ac:dyDescent="0.3"/>
  <sheetData>
    <row r="1" spans="1:1" x14ac:dyDescent="0.3">
      <c r="A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098-D93A-4BEE-B81A-99CEB88E920F}">
  <dimension ref="A1:C6"/>
  <sheetViews>
    <sheetView tabSelected="1" workbookViewId="0"/>
  </sheetViews>
  <sheetFormatPr defaultRowHeight="14.4" x14ac:dyDescent="0.3"/>
  <cols>
    <col min="1" max="1" width="103.5546875" bestFit="1" customWidth="1"/>
    <col min="3" max="3" width="6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 t="s">
        <v>28</v>
      </c>
      <c r="B2" cm="1">
        <f t="array" ref="B2">_xlfn.CONCAT(MAX(IFERROR(--TRANSPOSE(MID(LEFT(A2,99),_xlfn.SEQUENCE(LEN(A2)),1)),0)),MAX(IFERROR(--TRANSPOSE(MID(RIGHT(A2,100-FIND(MAX(IFERROR(--TRANSPOSE(MID(LEFT(A2,99),_xlfn.SEQUENCE(LEN(A2)),1)),0)),A2,1)),_xlfn.SEQUENCE(LEN(A2)),1)),0)))*1</f>
        <v>76</v>
      </c>
      <c r="C2">
        <f>SUM(B2:B201)</f>
        <v>425</v>
      </c>
    </row>
    <row r="3" spans="1:3" x14ac:dyDescent="0.3">
      <c r="A3" s="3" t="s">
        <v>29</v>
      </c>
      <c r="B3" cm="1">
        <f t="array" ref="B3">_xlfn.CONCAT(MAX(IFERROR(--TRANSPOSE(MID(LEFT(A3,99),_xlfn.SEQUENCE(LEN(A3)),1)),0)),MAX(IFERROR(--TRANSPOSE(MID(RIGHT(A3,100-FIND(MAX(IFERROR(--TRANSPOSE(MID(LEFT(A3,99),_xlfn.SEQUENCE(LEN(A3)),1)),0)),A3,1)),_xlfn.SEQUENCE(LEN(A3)),1)),0)))*1</f>
        <v>89</v>
      </c>
    </row>
    <row r="4" spans="1:3" x14ac:dyDescent="0.3">
      <c r="A4" s="3" t="s">
        <v>30</v>
      </c>
      <c r="B4" cm="1">
        <f t="array" ref="B4">_xlfn.CONCAT(MAX(IFERROR(--TRANSPOSE(MID(LEFT(A4,99),_xlfn.SEQUENCE(LEN(A4)),1)),0)),MAX(IFERROR(--TRANSPOSE(MID(RIGHT(A4,100-FIND(MAX(IFERROR(--TRANSPOSE(MID(LEFT(A4,99),_xlfn.SEQUENCE(LEN(A4)),1)),0)),A4,1)),_xlfn.SEQUENCE(LEN(A4)),1)),0)))*1</f>
        <v>88</v>
      </c>
    </row>
    <row r="5" spans="1:3" x14ac:dyDescent="0.3">
      <c r="A5" s="3" t="s">
        <v>31</v>
      </c>
      <c r="B5" cm="1">
        <f t="array" ref="B5">_xlfn.CONCAT(MAX(IFERROR(--TRANSPOSE(MID(LEFT(A5,99),_xlfn.SEQUENCE(LEN(A5)),1)),0)),MAX(IFERROR(--TRANSPOSE(MID(RIGHT(A5,100-FIND(MAX(IFERROR(--TRANSPOSE(MID(LEFT(A5,99),_xlfn.SEQUENCE(LEN(A5)),1)),0)),A5,1)),_xlfn.SEQUENCE(LEN(A5)),1)),0)))*1</f>
        <v>95</v>
      </c>
    </row>
    <row r="6" spans="1:3" x14ac:dyDescent="0.3">
      <c r="A6" s="3" t="s">
        <v>32</v>
      </c>
      <c r="B6" cm="1">
        <f t="array" ref="B6">_xlfn.CONCAT(MAX(IFERROR(--TRANSPOSE(MID(LEFT(A6,99),_xlfn.SEQUENCE(LEN(A6)),1)),0)),MAX(IFERROR(--TRANSPOSE(MID(RIGHT(A6,100-FIND(MAX(IFERROR(--TRANSPOSE(MID(LEFT(A6,99),_xlfn.SEQUENCE(LEN(A6)),1)),0)),A6,1)),_xlfn.SEQUENCE(LEN(A6)),1)),0)))*1</f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E802-32EF-49C3-9043-0B53DD2655A3}">
  <dimension ref="A1:AA5"/>
  <sheetViews>
    <sheetView workbookViewId="0"/>
  </sheetViews>
  <sheetFormatPr defaultRowHeight="14.4" x14ac:dyDescent="0.3"/>
  <cols>
    <col min="1" max="1" width="103.5546875" bestFit="1" customWidth="1"/>
    <col min="2" max="2" width="7.109375" bestFit="1" customWidth="1"/>
    <col min="3" max="3" width="6.6640625" bestFit="1" customWidth="1"/>
    <col min="4" max="4" width="7.6640625" bestFit="1" customWidth="1"/>
    <col min="5" max="5" width="7.21875" bestFit="1" customWidth="1"/>
    <col min="6" max="6" width="7.33203125" bestFit="1" customWidth="1"/>
    <col min="7" max="7" width="6.88671875" bestFit="1" customWidth="1"/>
    <col min="8" max="8" width="7.21875" bestFit="1" customWidth="1"/>
    <col min="9" max="9" width="6.77734375" bestFit="1" customWidth="1"/>
    <col min="10" max="10" width="7.21875" bestFit="1" customWidth="1"/>
    <col min="11" max="11" width="6.77734375" bestFit="1" customWidth="1"/>
    <col min="12" max="12" width="7.21875" bestFit="1" customWidth="1"/>
    <col min="13" max="13" width="6.77734375" bestFit="1" customWidth="1"/>
    <col min="14" max="14" width="7.21875" bestFit="1" customWidth="1"/>
    <col min="15" max="15" width="6.77734375" bestFit="1" customWidth="1"/>
    <col min="16" max="16" width="7.21875" bestFit="1" customWidth="1"/>
    <col min="17" max="17" width="6.77734375" bestFit="1" customWidth="1"/>
    <col min="18" max="18" width="7.21875" bestFit="1" customWidth="1"/>
    <col min="19" max="19" width="6.77734375" bestFit="1" customWidth="1"/>
    <col min="20" max="20" width="8.21875" bestFit="1" customWidth="1"/>
    <col min="21" max="21" width="7.77734375" bestFit="1" customWidth="1"/>
    <col min="22" max="22" width="8.21875" bestFit="1" customWidth="1"/>
    <col min="23" max="23" width="7.77734375" bestFit="1" customWidth="1"/>
    <col min="24" max="24" width="8.21875" bestFit="1" customWidth="1"/>
    <col min="25" max="25" width="7.77734375" bestFit="1" customWidth="1"/>
    <col min="26" max="26" width="13.109375" bestFit="1" customWidth="1"/>
    <col min="27" max="27" width="14.109375" bestFit="1" customWidth="1"/>
  </cols>
  <sheetData>
    <row r="1" spans="1:27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s="1" t="s">
        <v>1</v>
      </c>
      <c r="AA1" t="s">
        <v>27</v>
      </c>
    </row>
    <row r="2" spans="1:27" x14ac:dyDescent="0.3">
      <c r="A2" s="3" t="s">
        <v>28</v>
      </c>
      <c r="B2" cm="1">
        <f t="array" ref="B2">MAX(IFERROR(--TRANSPOSE(MID(LEFT(A2,89),_xlfn.SEQUENCE(LEN(A2)),1)),0))</f>
        <v>7</v>
      </c>
      <c r="C2">
        <f>FIND(B2,$A2,1)</f>
        <v>24</v>
      </c>
      <c r="D2" cm="1">
        <f t="array" ref="D2">MAX(IFERROR(--TRANSPOSE(MID(MID($A2,C2+1,90-(C2)),_xlfn.SEQUENCE(LEN($A2)),1)),0))</f>
        <v>6</v>
      </c>
      <c r="E2">
        <f>FIND(D2,$A2,C2+1)</f>
        <v>25</v>
      </c>
      <c r="F2" cm="1">
        <f t="array" ref="F2">MAX(IFERROR(--TRANSPOSE(MID(MID($A2,E2+1,91-(E2)),_xlfn.SEQUENCE(LEN($A2)),1)),0))</f>
        <v>6</v>
      </c>
      <c r="G2">
        <f>FIND(F2,$A2,E2+1)</f>
        <v>33</v>
      </c>
      <c r="H2" cm="1">
        <f t="array" ref="H2">MAX(IFERROR(--TRANSPOSE(MID(MID($A2,G2+1,92-(G2)),_xlfn.SEQUENCE(LEN($A2)),1)),0))</f>
        <v>5</v>
      </c>
      <c r="I2">
        <f>FIND(H2,$A2,G2+1)</f>
        <v>37</v>
      </c>
      <c r="J2" cm="1">
        <f t="array" ref="J2">MAX(IFERROR(--TRANSPOSE(MID(MID($A2,I2+1,93-(I2)),_xlfn.SEQUENCE(LEN($A2)),1)),0))</f>
        <v>5</v>
      </c>
      <c r="K2">
        <f>FIND(J2,$A2,I2+1)</f>
        <v>50</v>
      </c>
      <c r="L2" cm="1">
        <f t="array" ref="L2">MAX(IFERROR(--TRANSPOSE(MID(MID($A2,K2+1,94-(K2)),_xlfn.SEQUENCE(LEN($A2)),1)),0))</f>
        <v>4</v>
      </c>
      <c r="M2">
        <f>FIND(L2,$A2,K2+1)</f>
        <v>58</v>
      </c>
      <c r="N2" cm="1">
        <f t="array" ref="N2">MAX(IFERROR(--TRANSPOSE(MID(MID($A2,M2+1,95-(M2)),_xlfn.SEQUENCE(LEN($A2)),1)),0))</f>
        <v>4</v>
      </c>
      <c r="O2">
        <f>FIND(N2,$A2,M2+1)</f>
        <v>63</v>
      </c>
      <c r="P2" cm="1">
        <f t="array" ref="P2">MAX(IFERROR(--TRANSPOSE(MID(MID($A2,O2+1,96-(O2)),_xlfn.SEQUENCE(LEN($A2)),1)),0))</f>
        <v>4</v>
      </c>
      <c r="Q2">
        <f>FIND(P2,$A2,O2+1)</f>
        <v>83</v>
      </c>
      <c r="R2" cm="1">
        <f t="array" ref="R2">MAX(IFERROR(--TRANSPOSE(MID(MID($A2,Q2+1,97-(Q2)),_xlfn.SEQUENCE(LEN($A2)),1)),0))</f>
        <v>3</v>
      </c>
      <c r="S2">
        <f>FIND(R2,$A2,Q2+1)</f>
        <v>85</v>
      </c>
      <c r="T2" cm="1">
        <f t="array" ref="T2">MAX(IFERROR(--TRANSPOSE(MID(MID($A2,S2+1,98-(S2)),_xlfn.SEQUENCE(LEN($A2)),1)),0))</f>
        <v>2</v>
      </c>
      <c r="U2">
        <f>FIND(T2,$A2,S2+1)</f>
        <v>86</v>
      </c>
      <c r="V2" cm="1">
        <f t="array" ref="V2">MAX(IFERROR(--TRANSPOSE(MID(MID($A2,U2+1,99-(U2)),_xlfn.SEQUENCE(LEN($A2)),1)),0))</f>
        <v>3</v>
      </c>
      <c r="W2">
        <f>FIND(V2,$A2,U2+1)</f>
        <v>99</v>
      </c>
      <c r="X2" cm="1">
        <f t="array" ref="X2">MAX(IFERROR(--TRANSPOSE(MID(RIGHT($A2,100-(W2)),_xlfn.SEQUENCE(LEN($A2)),1)),0))</f>
        <v>2</v>
      </c>
      <c r="Y2">
        <f>FIND(X2,$A2,W2+1)</f>
        <v>100</v>
      </c>
      <c r="Z2" s="1">
        <f>_xlfn.CONCAT(B2,D2,F2,H2,J2,L2,N2,P2,R2,T2,V2,X2)*1</f>
        <v>766554443232</v>
      </c>
      <c r="AA2" s="2">
        <f>SUM(Z2:Z201)</f>
        <v>3455099676897</v>
      </c>
    </row>
    <row r="3" spans="1:27" x14ac:dyDescent="0.3">
      <c r="A3" s="3" t="s">
        <v>29</v>
      </c>
      <c r="B3" cm="1">
        <f t="array" ref="B3">MAX(IFERROR(--TRANSPOSE(MID(LEFT(A3,89),_xlfn.SEQUENCE(LEN(A3)),1)),0))</f>
        <v>8</v>
      </c>
      <c r="C3">
        <f t="shared" ref="C3:C5" si="0">FIND(B3,$A3,1)</f>
        <v>25</v>
      </c>
      <c r="D3" cm="1">
        <f t="array" ref="D3">MAX(IFERROR(--TRANSPOSE(MID(MID($A3,C3+1,90-(C3)),_xlfn.SEQUENCE(LEN($A3)),1)),0))</f>
        <v>4</v>
      </c>
      <c r="E3">
        <f t="shared" ref="E3:E5" si="1">FIND(D3,$A3,C3+1)</f>
        <v>27</v>
      </c>
      <c r="F3" cm="1">
        <f t="array" ref="F3">MAX(IFERROR(--TRANSPOSE(MID(MID($A3,E3+1,91-(E3)),_xlfn.SEQUENCE(LEN($A3)),1)),0))</f>
        <v>4</v>
      </c>
      <c r="G3">
        <f t="shared" ref="G3:G5" si="2">FIND(F3,$A3,E3+1)</f>
        <v>30</v>
      </c>
      <c r="H3" cm="1">
        <f t="array" ref="H3">MAX(IFERROR(--TRANSPOSE(MID(MID($A3,G3+1,92-(G3)),_xlfn.SEQUENCE(LEN($A3)),1)),0))</f>
        <v>4</v>
      </c>
      <c r="I3">
        <f t="shared" ref="I3:I5" si="3">FIND(H3,$A3,G3+1)</f>
        <v>39</v>
      </c>
      <c r="J3" cm="1">
        <f t="array" ref="J3">MAX(IFERROR(--TRANSPOSE(MID(MID($A3,I3+1,93-(I3)),_xlfn.SEQUENCE(LEN($A3)),1)),0))</f>
        <v>4</v>
      </c>
      <c r="K3">
        <f t="shared" ref="K3:K5" si="4">FIND(J3,$A3,I3+1)</f>
        <v>42</v>
      </c>
      <c r="L3" cm="1">
        <f t="array" ref="L3">MAX(IFERROR(--TRANSPOSE(MID(MID($A3,K3+1,94-(K3)),_xlfn.SEQUENCE(LEN($A3)),1)),0))</f>
        <v>4</v>
      </c>
      <c r="M3">
        <f t="shared" ref="M3:M5" si="5">FIND(L3,$A3,K3+1)</f>
        <v>44</v>
      </c>
      <c r="N3" cm="1">
        <f t="array" ref="N3">MAX(IFERROR(--TRANSPOSE(MID(MID($A3,M3+1,95-(M3)),_xlfn.SEQUENCE(LEN($A3)),1)),0))</f>
        <v>4</v>
      </c>
      <c r="O3">
        <f t="shared" ref="O3:O5" si="6">FIND(N3,$A3,M3+1)</f>
        <v>46</v>
      </c>
      <c r="P3" cm="1">
        <f t="array" ref="P3">MAX(IFERROR(--TRANSPOSE(MID(MID($A3,O3+1,96-(O3)),_xlfn.SEQUENCE(LEN($A3)),1)),0))</f>
        <v>5</v>
      </c>
      <c r="Q3">
        <f t="shared" ref="Q3:Q5" si="7">FIND(P3,$A3,O3+1)</f>
        <v>96</v>
      </c>
      <c r="R3" cm="1">
        <f t="array" ref="R3">MAX(IFERROR(--TRANSPOSE(MID(MID($A3,Q3+1,97-(Q3)),_xlfn.SEQUENCE(LEN($A3)),1)),0))</f>
        <v>6</v>
      </c>
      <c r="S3">
        <f t="shared" ref="S3:S5" si="8">FIND(R3,$A3,Q3+1)</f>
        <v>97</v>
      </c>
      <c r="T3" cm="1">
        <f t="array" ref="T3">MAX(IFERROR(--TRANSPOSE(MID(MID($A3,S3+1,98-(S3)),_xlfn.SEQUENCE(LEN($A3)),1)),0))</f>
        <v>7</v>
      </c>
      <c r="U3">
        <f t="shared" ref="U3:U5" si="9">FIND(T3,$A3,S3+1)</f>
        <v>98</v>
      </c>
      <c r="V3" cm="1">
        <f t="array" ref="V3">MAX(IFERROR(--TRANSPOSE(MID(MID($A3,U3+1,99-(U3)),_xlfn.SEQUENCE(LEN($A3)),1)),0))</f>
        <v>8</v>
      </c>
      <c r="W3">
        <f t="shared" ref="W3:W5" si="10">FIND(V3,$A3,U3+1)</f>
        <v>99</v>
      </c>
      <c r="X3" cm="1">
        <f t="array" ref="X3">MAX(IFERROR(--TRANSPOSE(MID(RIGHT($A3,100-(W3)),_xlfn.SEQUENCE(LEN($A3)),1)),0))</f>
        <v>9</v>
      </c>
      <c r="Y3">
        <f t="shared" ref="Y3:Y5" si="11">FIND(X3,$A3,W3+1)</f>
        <v>100</v>
      </c>
      <c r="Z3" s="1">
        <f t="shared" ref="Z3:Z5" si="12">_xlfn.CONCAT(B3,D3,F3,H3,J3,L3,N3,P3,R3,T3,V3,X3)*1</f>
        <v>844444456789</v>
      </c>
    </row>
    <row r="4" spans="1:27" x14ac:dyDescent="0.3">
      <c r="A4" s="3" t="s">
        <v>30</v>
      </c>
      <c r="B4" cm="1">
        <f t="array" ref="B4">MAX(IFERROR(--TRANSPOSE(MID(LEFT(A4,89),_xlfn.SEQUENCE(LEN(A4)),1)),0))</f>
        <v>8</v>
      </c>
      <c r="C4">
        <f t="shared" si="0"/>
        <v>23</v>
      </c>
      <c r="D4" cm="1">
        <f t="array" ref="D4">MAX(IFERROR(--TRANSPOSE(MID(MID($A4,C4+1,90-(C4)),_xlfn.SEQUENCE(LEN($A4)),1)),0))</f>
        <v>8</v>
      </c>
      <c r="E4">
        <f t="shared" si="1"/>
        <v>39</v>
      </c>
      <c r="F4" cm="1">
        <f t="array" ref="F4">MAX(IFERROR(--TRANSPOSE(MID(MID($A4,E4+1,91-(E4)),_xlfn.SEQUENCE(LEN($A4)),1)),0))</f>
        <v>8</v>
      </c>
      <c r="G4">
        <f t="shared" si="2"/>
        <v>56</v>
      </c>
      <c r="H4" cm="1">
        <f t="array" ref="H4">MAX(IFERROR(--TRANSPOSE(MID(MID($A4,G4+1,92-(G4)),_xlfn.SEQUENCE(LEN($A4)),1)),0))</f>
        <v>8</v>
      </c>
      <c r="I4">
        <f t="shared" si="3"/>
        <v>71</v>
      </c>
      <c r="J4" cm="1">
        <f t="array" ref="J4">MAX(IFERROR(--TRANSPOSE(MID(MID($A4,I4+1,93-(I4)),_xlfn.SEQUENCE(LEN($A4)),1)),0))</f>
        <v>7</v>
      </c>
      <c r="K4">
        <f t="shared" si="4"/>
        <v>78</v>
      </c>
      <c r="L4" cm="1">
        <f t="array" ref="L4">MAX(IFERROR(--TRANSPOSE(MID(MID($A4,K4+1,94-(K4)),_xlfn.SEQUENCE(LEN($A4)),1)),0))</f>
        <v>7</v>
      </c>
      <c r="M4">
        <f t="shared" si="5"/>
        <v>83</v>
      </c>
      <c r="N4" cm="1">
        <f t="array" ref="N4">MAX(IFERROR(--TRANSPOSE(MID(MID($A4,M4+1,95-(M4)),_xlfn.SEQUENCE(LEN($A4)),1)),0))</f>
        <v>5</v>
      </c>
      <c r="O4">
        <f t="shared" si="6"/>
        <v>88</v>
      </c>
      <c r="P4" cm="1">
        <f t="array" ref="P4">MAX(IFERROR(--TRANSPOSE(MID(MID($A4,O4+1,96-(O4)),_xlfn.SEQUENCE(LEN($A4)),1)),0))</f>
        <v>5</v>
      </c>
      <c r="Q4">
        <f t="shared" si="7"/>
        <v>90</v>
      </c>
      <c r="R4" cm="1">
        <f t="array" ref="R4">MAX(IFERROR(--TRANSPOSE(MID(MID($A4,Q4+1,97-(Q4)),_xlfn.SEQUENCE(LEN($A4)),1)),0))</f>
        <v>4</v>
      </c>
      <c r="S4">
        <f t="shared" si="8"/>
        <v>91</v>
      </c>
      <c r="T4" cm="1">
        <f t="array" ref="T4">MAX(IFERROR(--TRANSPOSE(MID(MID($A4,S4+1,98-(S4)),_xlfn.SEQUENCE(LEN($A4)),1)),0))</f>
        <v>5</v>
      </c>
      <c r="U4">
        <f t="shared" si="9"/>
        <v>98</v>
      </c>
      <c r="V4" cm="1">
        <f t="array" ref="V4">MAX(IFERROR(--TRANSPOSE(MID(MID($A4,U4+1,99-(U4)),_xlfn.SEQUENCE(LEN($A4)),1)),0))</f>
        <v>5</v>
      </c>
      <c r="W4">
        <f t="shared" si="10"/>
        <v>99</v>
      </c>
      <c r="X4" cm="1">
        <f t="array" ref="X4">MAX(IFERROR(--TRANSPOSE(MID(RIGHT($A4,100-(W4)),_xlfn.SEQUENCE(LEN($A4)),1)),0))</f>
        <v>5</v>
      </c>
      <c r="Y4">
        <f t="shared" si="11"/>
        <v>100</v>
      </c>
      <c r="Z4" s="1">
        <f t="shared" si="12"/>
        <v>888877554555</v>
      </c>
    </row>
    <row r="5" spans="1:27" x14ac:dyDescent="0.3">
      <c r="A5" s="3" t="s">
        <v>31</v>
      </c>
      <c r="B5" cm="1">
        <f t="array" ref="B5">MAX(IFERROR(--TRANSPOSE(MID(LEFT(A5,89),_xlfn.SEQUENCE(LEN(A5)),1)),0))</f>
        <v>9</v>
      </c>
      <c r="C5">
        <f t="shared" si="0"/>
        <v>38</v>
      </c>
      <c r="D5" cm="1">
        <f t="array" ref="D5">MAX(IFERROR(--TRANSPOSE(MID(MID($A5,C5+1,90-(C5)),_xlfn.SEQUENCE(LEN($A5)),1)),0))</f>
        <v>5</v>
      </c>
      <c r="E5">
        <f t="shared" si="1"/>
        <v>41</v>
      </c>
      <c r="F5" cm="1">
        <f t="array" ref="F5">MAX(IFERROR(--TRANSPOSE(MID(MID($A5,E5+1,91-(E5)),_xlfn.SEQUENCE(LEN($A5)),1)),0))</f>
        <v>5</v>
      </c>
      <c r="G5">
        <f t="shared" si="2"/>
        <v>89</v>
      </c>
      <c r="H5" cm="1">
        <f t="array" ref="H5">MAX(IFERROR(--TRANSPOSE(MID(MID($A5,G5+1,92-(G5)),_xlfn.SEQUENCE(LEN($A5)),1)),0))</f>
        <v>2</v>
      </c>
      <c r="I5">
        <f t="shared" si="3"/>
        <v>90</v>
      </c>
      <c r="J5" cm="1">
        <f t="array" ref="J5">MAX(IFERROR(--TRANSPOSE(MID(MID($A5,I5+1,93-(I5)),_xlfn.SEQUENCE(LEN($A5)),1)),0))</f>
        <v>2</v>
      </c>
      <c r="K5">
        <f t="shared" si="4"/>
        <v>91</v>
      </c>
      <c r="L5" cm="1">
        <f t="array" ref="L5">MAX(IFERROR(--TRANSPOSE(MID(MID($A5,K5+1,94-(K5)),_xlfn.SEQUENCE(LEN($A5)),1)),0))</f>
        <v>3</v>
      </c>
      <c r="M5">
        <f t="shared" si="5"/>
        <v>94</v>
      </c>
      <c r="N5" cm="1">
        <f t="array" ref="N5">MAX(IFERROR(--TRANSPOSE(MID(MID($A5,M5+1,95-(M5)),_xlfn.SEQUENCE(LEN($A5)),1)),0))</f>
        <v>2</v>
      </c>
      <c r="O5">
        <f t="shared" si="6"/>
        <v>95</v>
      </c>
      <c r="P5" cm="1">
        <f t="array" ref="P5">MAX(IFERROR(--TRANSPOSE(MID(MID($A5,O5+1,96-(O5)),_xlfn.SEQUENCE(LEN($A5)),1)),0))</f>
        <v>2</v>
      </c>
      <c r="Q5">
        <f t="shared" si="7"/>
        <v>96</v>
      </c>
      <c r="R5" cm="1">
        <f t="array" ref="R5">MAX(IFERROR(--TRANSPOSE(MID(MID($A5,Q5+1,97-(Q5)),_xlfn.SEQUENCE(LEN($A5)),1)),0))</f>
        <v>2</v>
      </c>
      <c r="S5">
        <f t="shared" si="8"/>
        <v>97</v>
      </c>
      <c r="T5" cm="1">
        <f t="array" ref="T5">MAX(IFERROR(--TRANSPOSE(MID(MID($A5,S5+1,98-(S5)),_xlfn.SEQUENCE(LEN($A5)),1)),0))</f>
        <v>3</v>
      </c>
      <c r="U5">
        <f t="shared" si="9"/>
        <v>98</v>
      </c>
      <c r="V5" cm="1">
        <f t="array" ref="V5">MAX(IFERROR(--TRANSPOSE(MID(MID($A5,U5+1,99-(U5)),_xlfn.SEQUENCE(LEN($A5)),1)),0))</f>
        <v>2</v>
      </c>
      <c r="W5">
        <f t="shared" si="10"/>
        <v>99</v>
      </c>
      <c r="X5" cm="1">
        <f t="array" ref="X5">MAX(IFERROR(--TRANSPOSE(MID(RIGHT($A5,100-(W5)),_xlfn.SEQUENCE(LEN($A5)),1)),0))</f>
        <v>1</v>
      </c>
      <c r="Y5">
        <f t="shared" si="11"/>
        <v>100</v>
      </c>
      <c r="Z5" s="1">
        <f t="shared" si="12"/>
        <v>955223222321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Crystal Chiang</dc:creator>
  <cp:lastModifiedBy>J. Crystal Chiang</cp:lastModifiedBy>
  <dcterms:created xsi:type="dcterms:W3CDTF">2025-12-03T06:58:19Z</dcterms:created>
  <dcterms:modified xsi:type="dcterms:W3CDTF">2025-12-03T07:03:18Z</dcterms:modified>
</cp:coreProperties>
</file>