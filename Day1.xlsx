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e\OneDrive\Documents\AOC\2025\"/>
    </mc:Choice>
  </mc:AlternateContent>
  <xr:revisionPtr revIDLastSave="0" documentId="8_{5878CAB7-8CB8-4E16-A988-2B3F00649E60}" xr6:coauthVersionLast="47" xr6:coauthVersionMax="47" xr10:uidLastSave="{00000000-0000-0000-0000-000000000000}"/>
  <bookViews>
    <workbookView xWindow="5760" yWindow="0" windowWidth="25164" windowHeight="18576" xr2:uid="{BAC7F6DD-9C32-47FC-848B-1FF73B94493A}"/>
  </bookViews>
  <sheets>
    <sheet name="Day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C3" i="1"/>
  <c r="E3" i="1" s="1"/>
  <c r="B3" i="1"/>
  <c r="C4" i="1"/>
  <c r="C5" i="1"/>
  <c r="C6" i="1"/>
  <c r="C7" i="1"/>
  <c r="C8" i="1"/>
  <c r="C9" i="1"/>
  <c r="C10" i="1"/>
  <c r="B4" i="1"/>
  <c r="B5" i="1"/>
  <c r="B6" i="1"/>
  <c r="B7" i="1"/>
  <c r="B8" i="1"/>
  <c r="B9" i="1"/>
  <c r="B10" i="1"/>
  <c r="D3" i="1" l="1"/>
  <c r="F3" i="1" s="1"/>
  <c r="D10" i="1"/>
  <c r="E10" i="1"/>
  <c r="D9" i="1"/>
  <c r="E9" i="1"/>
  <c r="D8" i="1"/>
  <c r="E8" i="1"/>
  <c r="D7" i="1"/>
  <c r="E7" i="1"/>
  <c r="D6" i="1"/>
  <c r="E6" i="1"/>
  <c r="D5" i="1"/>
  <c r="E5" i="1"/>
  <c r="D4" i="1"/>
  <c r="E4" i="1"/>
  <c r="K3" i="1" l="1"/>
  <c r="H3" i="1"/>
  <c r="G3" i="1"/>
  <c r="F4" i="1"/>
  <c r="H4" i="1" l="1"/>
  <c r="G4" i="1"/>
  <c r="F5" i="1"/>
  <c r="G5" i="1" s="1"/>
  <c r="H5" i="1" l="1"/>
  <c r="F6" i="1"/>
  <c r="H6" i="1" l="1"/>
  <c r="G6" i="1"/>
  <c r="F7" i="1"/>
  <c r="H7" i="1" l="1"/>
  <c r="G7" i="1"/>
  <c r="F8" i="1"/>
  <c r="H8" i="1" l="1"/>
  <c r="G8" i="1"/>
  <c r="F9" i="1"/>
  <c r="H9" i="1" l="1"/>
  <c r="G9" i="1"/>
  <c r="F10" i="1"/>
  <c r="H10" i="1" l="1"/>
  <c r="G10" i="1"/>
  <c r="I10" i="1" l="1"/>
  <c r="M3" i="1"/>
  <c r="J3" i="1" l="1"/>
  <c r="N3" i="1" l="1"/>
  <c r="L3" i="1"/>
  <c r="O3" i="1" l="1"/>
</calcChain>
</file>

<file path=xl/sharedStrings.xml><?xml version="1.0" encoding="utf-8"?>
<sst xmlns="http://schemas.openxmlformats.org/spreadsheetml/2006/main" count="24" uniqueCount="23">
  <si>
    <t>R11</t>
  </si>
  <si>
    <t>R36</t>
  </si>
  <si>
    <t>R1</t>
  </si>
  <si>
    <t>L45</t>
  </si>
  <si>
    <t>L12</t>
  </si>
  <si>
    <t>L9</t>
  </si>
  <si>
    <t>L143</t>
  </si>
  <si>
    <t>multiple turns?</t>
  </si>
  <si>
    <t>left turn passes 0</t>
  </si>
  <si>
    <t>right turn passes 0</t>
  </si>
  <si>
    <t># of 0's</t>
  </si>
  <si>
    <t>double counts</t>
  </si>
  <si>
    <t>Part 2:</t>
  </si>
  <si>
    <t>Part 1:</t>
  </si>
  <si>
    <t>multi-turns past 0</t>
  </si>
  <si>
    <t>left turns past 0</t>
  </si>
  <si>
    <t>right turns past 0</t>
  </si>
  <si>
    <t>input data</t>
  </si>
  <si>
    <t>direction</t>
  </si>
  <si>
    <t>number</t>
  </si>
  <si>
    <t>floor(C/100)</t>
  </si>
  <si>
    <t>Position</t>
  </si>
  <si>
    <t>turn lands on 0 (double 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</si>
</sst>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0AF4-91CF-4EDC-A3D9-0B2113FFF69F}">
  <dimension ref="A1:O10"/>
  <sheetViews>
    <sheetView tabSelected="1" workbookViewId="0"/>
  </sheetViews>
  <sheetFormatPr defaultRowHeight="14.4" x14ac:dyDescent="0.3"/>
  <cols>
    <col min="4" max="4" width="10.6640625" bestFit="1" customWidth="1"/>
    <col min="5" max="5" width="12.77734375" bestFit="1" customWidth="1"/>
    <col min="7" max="7" width="14.5546875" bestFit="1" customWidth="1"/>
    <col min="8" max="8" width="15.5546875" bestFit="1" customWidth="1"/>
    <col min="9" max="9" width="24.6640625" bestFit="1" customWidth="1"/>
    <col min="11" max="11" width="15" bestFit="1" customWidth="1"/>
    <col min="14" max="14" width="12.21875" bestFit="1" customWidth="1"/>
  </cols>
  <sheetData>
    <row r="1" spans="1:15" x14ac:dyDescent="0.3">
      <c r="F1" t="s">
        <v>21</v>
      </c>
      <c r="J1" t="s">
        <v>13</v>
      </c>
    </row>
    <row r="2" spans="1:15" x14ac:dyDescent="0.3">
      <c r="A2" t="s">
        <v>17</v>
      </c>
      <c r="B2" t="s">
        <v>18</v>
      </c>
      <c r="C2" t="s">
        <v>19</v>
      </c>
      <c r="D2" t="s">
        <v>20</v>
      </c>
      <c r="E2" t="s">
        <v>7</v>
      </c>
      <c r="F2">
        <v>50</v>
      </c>
      <c r="G2" t="s">
        <v>8</v>
      </c>
      <c r="H2" t="s">
        <v>9</v>
      </c>
      <c r="I2" t="s">
        <v>22</v>
      </c>
      <c r="J2" t="s">
        <v>10</v>
      </c>
      <c r="K2" t="s">
        <v>14</v>
      </c>
      <c r="L2" t="s">
        <v>15</v>
      </c>
      <c r="M2" t="s">
        <v>16</v>
      </c>
      <c r="N2" t="s">
        <v>11</v>
      </c>
      <c r="O2" t="s">
        <v>12</v>
      </c>
    </row>
    <row r="3" spans="1:15" x14ac:dyDescent="0.3">
      <c r="A3" t="s">
        <v>0</v>
      </c>
      <c r="B3" t="str">
        <f>LEFT(A3,1)</f>
        <v>R</v>
      </c>
      <c r="C3" t="str">
        <f>RIGHT(A3,LEN(A3)-1)</f>
        <v>11</v>
      </c>
      <c r="D3">
        <f>IF(C3&gt;100,MOD(C3,100),C3)</f>
        <v>11</v>
      </c>
      <c r="E3">
        <f>IF(C3&gt;100,FLOOR(C3/100,1),"")</f>
        <v>0</v>
      </c>
      <c r="F3">
        <f>IF(B3="R",MOD(F2+D3,100),MOD(F2-D3,100))</f>
        <v>61</v>
      </c>
      <c r="G3">
        <f>IF(AND(F2-F3&lt;0,B3="L"),1,0)</f>
        <v>0</v>
      </c>
      <c r="H3">
        <f>IF(AND(F3-F2&lt;0,B3="R"),1,0)</f>
        <v>0</v>
      </c>
      <c r="I3">
        <f>IF(AND(OR(G3=1,H3=1),OR(F3=0,F2=0)),-1,0)</f>
        <v>0</v>
      </c>
      <c r="J3" s="1">
        <f>COUNTIF(F3:F4070,0)</f>
        <v>1</v>
      </c>
      <c r="K3">
        <f>SUM(E3:E4070)</f>
        <v>1</v>
      </c>
      <c r="L3">
        <f>SUM(G3:G4070)</f>
        <v>0</v>
      </c>
      <c r="M3">
        <f>SUM(H3:H4070)</f>
        <v>0</v>
      </c>
      <c r="N3">
        <f>SUM(I3:I4070)</f>
        <v>0</v>
      </c>
      <c r="O3" s="1">
        <f>SUM(J3:N3)</f>
        <v>2</v>
      </c>
    </row>
    <row r="4" spans="1:15" x14ac:dyDescent="0.3">
      <c r="A4" t="s">
        <v>1</v>
      </c>
      <c r="B4" t="str">
        <f t="shared" ref="B4:B67" si="0">LEFT(A4,1)</f>
        <v>R</v>
      </c>
      <c r="C4" t="str">
        <f t="shared" ref="C4:C67" si="1">RIGHT(A4,LEN(A4)-1)</f>
        <v>36</v>
      </c>
      <c r="D4">
        <f t="shared" ref="D4:D67" si="2">IF(C4&gt;100,MOD(C4,100),C4)</f>
        <v>36</v>
      </c>
      <c r="E4">
        <f t="shared" ref="E4:E67" si="3">IF(C4&gt;100,FLOOR(C4/100,1),"")</f>
        <v>0</v>
      </c>
      <c r="F4">
        <f t="shared" ref="F4:F67" si="4">IF(B4="R",MOD(F3+D4,100),MOD(F3-D4,100))</f>
        <v>97</v>
      </c>
      <c r="G4">
        <f t="shared" ref="G4:G67" si="5">IF(AND(F3-F4&lt;0,B4="L"),1,0)</f>
        <v>0</v>
      </c>
      <c r="H4">
        <f t="shared" ref="H4:H67" si="6">IF(AND(F4-F3&lt;0,B4="R"),1,0)</f>
        <v>0</v>
      </c>
      <c r="I4">
        <f t="shared" ref="I4:I67" si="7">IF(AND(OR(G4=1,H4=1),OR(F4=0,F3=0)),-1,0)</f>
        <v>0</v>
      </c>
    </row>
    <row r="5" spans="1:15" x14ac:dyDescent="0.3">
      <c r="A5" t="s">
        <v>2</v>
      </c>
      <c r="B5" t="str">
        <f t="shared" si="0"/>
        <v>R</v>
      </c>
      <c r="C5" t="str">
        <f t="shared" si="1"/>
        <v>1</v>
      </c>
      <c r="D5">
        <f t="shared" si="2"/>
        <v>1</v>
      </c>
      <c r="E5">
        <f t="shared" si="3"/>
        <v>0</v>
      </c>
      <c r="F5">
        <f t="shared" si="4"/>
        <v>98</v>
      </c>
      <c r="G5">
        <f t="shared" si="5"/>
        <v>0</v>
      </c>
      <c r="H5">
        <f t="shared" si="6"/>
        <v>0</v>
      </c>
      <c r="I5">
        <f t="shared" si="7"/>
        <v>0</v>
      </c>
    </row>
    <row r="6" spans="1:15" x14ac:dyDescent="0.3">
      <c r="A6" t="s">
        <v>3</v>
      </c>
      <c r="B6" t="str">
        <f t="shared" si="0"/>
        <v>L</v>
      </c>
      <c r="C6" t="str">
        <f t="shared" si="1"/>
        <v>45</v>
      </c>
      <c r="D6">
        <f t="shared" si="2"/>
        <v>45</v>
      </c>
      <c r="E6">
        <f t="shared" si="3"/>
        <v>0</v>
      </c>
      <c r="F6">
        <f t="shared" si="4"/>
        <v>53</v>
      </c>
      <c r="G6">
        <f t="shared" si="5"/>
        <v>0</v>
      </c>
      <c r="H6">
        <f t="shared" si="6"/>
        <v>0</v>
      </c>
      <c r="I6">
        <f t="shared" si="7"/>
        <v>0</v>
      </c>
    </row>
    <row r="7" spans="1:15" x14ac:dyDescent="0.3">
      <c r="A7" t="s">
        <v>4</v>
      </c>
      <c r="B7" t="str">
        <f t="shared" si="0"/>
        <v>L</v>
      </c>
      <c r="C7" t="str">
        <f t="shared" si="1"/>
        <v>12</v>
      </c>
      <c r="D7">
        <f t="shared" si="2"/>
        <v>12</v>
      </c>
      <c r="E7">
        <f t="shared" si="3"/>
        <v>0</v>
      </c>
      <c r="F7">
        <f t="shared" si="4"/>
        <v>41</v>
      </c>
      <c r="G7">
        <f t="shared" si="5"/>
        <v>0</v>
      </c>
      <c r="H7">
        <f t="shared" si="6"/>
        <v>0</v>
      </c>
      <c r="I7">
        <f t="shared" si="7"/>
        <v>0</v>
      </c>
    </row>
    <row r="8" spans="1:15" x14ac:dyDescent="0.3">
      <c r="A8" t="s">
        <v>5</v>
      </c>
      <c r="B8" t="str">
        <f t="shared" si="0"/>
        <v>L</v>
      </c>
      <c r="C8" t="str">
        <f t="shared" si="1"/>
        <v>9</v>
      </c>
      <c r="D8">
        <f t="shared" si="2"/>
        <v>9</v>
      </c>
      <c r="E8">
        <f t="shared" si="3"/>
        <v>0</v>
      </c>
      <c r="F8">
        <f t="shared" si="4"/>
        <v>32</v>
      </c>
      <c r="G8">
        <f t="shared" si="5"/>
        <v>0</v>
      </c>
      <c r="H8">
        <f t="shared" si="6"/>
        <v>0</v>
      </c>
      <c r="I8">
        <f t="shared" si="7"/>
        <v>0</v>
      </c>
    </row>
    <row r="9" spans="1:15" x14ac:dyDescent="0.3">
      <c r="A9" t="s">
        <v>0</v>
      </c>
      <c r="B9" t="str">
        <f t="shared" si="0"/>
        <v>R</v>
      </c>
      <c r="C9" t="str">
        <f t="shared" si="1"/>
        <v>11</v>
      </c>
      <c r="D9">
        <f t="shared" si="2"/>
        <v>11</v>
      </c>
      <c r="E9">
        <f t="shared" si="3"/>
        <v>0</v>
      </c>
      <c r="F9">
        <f t="shared" si="4"/>
        <v>43</v>
      </c>
      <c r="G9">
        <f t="shared" si="5"/>
        <v>0</v>
      </c>
      <c r="H9">
        <f t="shared" si="6"/>
        <v>0</v>
      </c>
      <c r="I9">
        <f t="shared" si="7"/>
        <v>0</v>
      </c>
    </row>
    <row r="10" spans="1:15" x14ac:dyDescent="0.3">
      <c r="A10" t="s">
        <v>6</v>
      </c>
      <c r="B10" t="str">
        <f t="shared" si="0"/>
        <v>L</v>
      </c>
      <c r="C10" t="str">
        <f t="shared" si="1"/>
        <v>143</v>
      </c>
      <c r="D10">
        <f t="shared" si="2"/>
        <v>43</v>
      </c>
      <c r="E10">
        <f t="shared" si="3"/>
        <v>1</v>
      </c>
      <c r="F10">
        <f t="shared" si="4"/>
        <v>0</v>
      </c>
      <c r="G10">
        <f t="shared" si="5"/>
        <v>0</v>
      </c>
      <c r="H10">
        <f t="shared" si="6"/>
        <v>0</v>
      </c>
      <c r="I10">
        <f t="shared" si="7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Crystal Chiang</dc:creator>
  <cp:lastModifiedBy>J. Crystal Chiang</cp:lastModifiedBy>
  <dcterms:created xsi:type="dcterms:W3CDTF">2025-12-01T04:51:38Z</dcterms:created>
  <dcterms:modified xsi:type="dcterms:W3CDTF">2025-12-01T06:38:22Z</dcterms:modified>
</cp:coreProperties>
</file>